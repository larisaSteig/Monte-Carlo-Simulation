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ochmar\Desktop\Coursera_VBA\MonteCarlo\"/>
    </mc:Choice>
  </mc:AlternateContent>
  <xr:revisionPtr revIDLastSave="0" documentId="10_ncr:100000_{E54F4BA4-A05D-45A8-AC07-E34386D71221}" xr6:coauthVersionLast="31" xr6:coauthVersionMax="31" xr10:uidLastSave="{00000000-0000-0000-0000-000000000000}"/>
  <bookViews>
    <workbookView xWindow="0" yWindow="0" windowWidth="23040" windowHeight="9216" xr2:uid="{00000000-000D-0000-FFFF-FFFF00000000}"/>
  </bookViews>
  <sheets>
    <sheet name="Main" sheetId="1" r:id="rId1"/>
    <sheet name="Histogram" sheetId="61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Final">Main!$N$24</definedName>
    <definedName name="i">Main!$H$4</definedName>
    <definedName name="S">Main!$E$3</definedName>
    <definedName name="tax">Main!$E$4</definedName>
    <definedName name="WC">Main!$B$6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B10" i="1"/>
  <c r="L10" i="1" l="1"/>
  <c r="J24" i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M10" i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<sst xmlns="http://schemas.openxmlformats.org/spreadsheetml/2006/main" count="28" uniqueCount="23">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</sst>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165" fontId="0" fillId="0" borderId="0" xfId="0" applyNumberFormat="1" applyFill="1" applyBorder="1"/>
    <xf numFmtId="164" fontId="0" fillId="0" borderId="0" xfId="2" applyNumberFormat="1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-135</c:v>
                </c:pt>
                <c:pt idx="1">
                  <c:v>-125</c:v>
                </c:pt>
                <c:pt idx="2">
                  <c:v>-115</c:v>
                </c:pt>
                <c:pt idx="3">
                  <c:v>-105</c:v>
                </c:pt>
                <c:pt idx="4">
                  <c:v>-95</c:v>
                </c:pt>
                <c:pt idx="5">
                  <c:v>-85</c:v>
                </c:pt>
                <c:pt idx="6">
                  <c:v>-75</c:v>
                </c:pt>
                <c:pt idx="7">
                  <c:v>-65</c:v>
                </c:pt>
                <c:pt idx="8">
                  <c:v>-55</c:v>
                </c:pt>
                <c:pt idx="9">
                  <c:v>-45</c:v>
                </c:pt>
                <c:pt idx="10">
                  <c:v>-35</c:v>
                </c:pt>
                <c:pt idx="11">
                  <c:v>-25</c:v>
                </c:pt>
                <c:pt idx="12">
                  <c:v>-15</c:v>
                </c:pt>
                <c:pt idx="13">
                  <c:v>-5</c:v>
                </c:pt>
                <c:pt idx="14">
                  <c:v>5</c:v>
                </c:pt>
                <c:pt idx="15">
                  <c:v>15</c:v>
                </c:pt>
                <c:pt idx="16">
                  <c:v>25</c:v>
                </c:pt>
                <c:pt idx="17">
                  <c:v>35</c:v>
                </c:pt>
                <c:pt idx="18">
                  <c:v>45</c:v>
                </c:pt>
                <c:pt idx="19">
                  <c:v>55</c:v>
                </c:pt>
                <c:pt idx="20">
                  <c:v>65</c:v>
                </c:pt>
                <c:pt idx="21">
                  <c:v>75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12</c:v>
                </c:pt>
                <c:pt idx="4">
                  <c:v>12</c:v>
                </c:pt>
                <c:pt idx="5">
                  <c:v>55</c:v>
                </c:pt>
                <c:pt idx="6">
                  <c:v>97</c:v>
                </c:pt>
                <c:pt idx="7">
                  <c:v>130</c:v>
                </c:pt>
                <c:pt idx="8">
                  <c:v>91</c:v>
                </c:pt>
                <c:pt idx="9">
                  <c:v>50</c:v>
                </c:pt>
                <c:pt idx="10">
                  <c:v>133</c:v>
                </c:pt>
                <c:pt idx="11">
                  <c:v>148</c:v>
                </c:pt>
                <c:pt idx="12">
                  <c:v>95</c:v>
                </c:pt>
                <c:pt idx="13">
                  <c:v>60</c:v>
                </c:pt>
                <c:pt idx="14">
                  <c:v>42</c:v>
                </c:pt>
                <c:pt idx="15">
                  <c:v>24</c:v>
                </c:pt>
                <c:pt idx="16">
                  <c:v>21</c:v>
                </c:pt>
                <c:pt idx="17">
                  <c:v>16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62-49C8-B4AB-2617378AA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692888"/>
        <c:axId val="541698792"/>
      </c:barChart>
      <c:catAx>
        <c:axId val="541692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98792"/>
        <c:crosses val="autoZero"/>
        <c:auto val="1"/>
        <c:lblAlgn val="ctr"/>
        <c:lblOffset val="100"/>
        <c:noMultiLvlLbl val="0"/>
      </c:catAx>
      <c:valAx>
        <c:axId val="54169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9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D4406C-C510-4A9B-B1A4-164F23A37D58}">
  <sheetPr codeName="Chart1"/>
  <sheetViews>
    <sheetView zoomScale="84" workbookViewId="0" zoomToFit="1"/>
  </sheetViews>
  <pageMargins left="0.7" right="0.7" top="0.75" bottom="0.75" header="0.3" footer="0.3"/>
  <pageSetup orientation="landscape" horizontalDpi="300" verticalDpi="300" r:id="rId1"/>
  <headerFooter>
    <oddFooter>&amp;C&amp;1#&amp;"Calibri"&amp;10&amp;K000000Schlumberger-Private</oddFooter>
  </headerFooter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C626BB-1D67-43C7-9B10-B451CB3F61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7"/>
  <sheetViews>
    <sheetView tabSelected="1" zoomScaleNormal="100" workbookViewId="0">
      <selection activeCell="G14" sqref="G14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  <col min="20" max="20" width="8.88671875" customWidth="1"/>
  </cols>
  <sheetData>
    <row r="1" spans="1:20" x14ac:dyDescent="0.3">
      <c r="A1" t="s">
        <v>0</v>
      </c>
    </row>
    <row r="2" spans="1:20" ht="15" thickBot="1" x14ac:dyDescent="0.35">
      <c r="L2" s="10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t="s">
        <v>1</v>
      </c>
      <c r="B3" s="5">
        <v>-6</v>
      </c>
      <c r="D3" t="s">
        <v>2</v>
      </c>
      <c r="E3" s="15">
        <v>30.214406570157017</v>
      </c>
      <c r="G3" t="s">
        <v>3</v>
      </c>
      <c r="H3" s="5">
        <v>-10.174738273254055</v>
      </c>
      <c r="L3" s="10"/>
      <c r="M3" s="17"/>
      <c r="N3" s="16"/>
      <c r="O3" s="16"/>
      <c r="P3" s="18"/>
      <c r="Q3" s="16"/>
      <c r="R3" s="16"/>
      <c r="S3" s="17"/>
      <c r="T3" s="16"/>
    </row>
    <row r="4" spans="1:20" ht="15" thickBot="1" x14ac:dyDescent="0.35">
      <c r="A4" t="s">
        <v>4</v>
      </c>
      <c r="B4" s="6">
        <v>-2.91</v>
      </c>
      <c r="D4" t="s">
        <v>5</v>
      </c>
      <c r="E4" s="7">
        <v>0.4</v>
      </c>
      <c r="G4" t="s">
        <v>6</v>
      </c>
      <c r="H4" s="8">
        <v>0.12403579235076904</v>
      </c>
      <c r="L4" s="10"/>
      <c r="M4" s="17"/>
      <c r="N4" s="16"/>
      <c r="O4" s="16"/>
      <c r="P4" s="16"/>
      <c r="Q4" s="16"/>
      <c r="R4" s="16"/>
      <c r="S4" s="19"/>
      <c r="T4" s="16"/>
    </row>
    <row r="5" spans="1:20" x14ac:dyDescent="0.3">
      <c r="A5" t="s">
        <v>7</v>
      </c>
      <c r="B5" s="9">
        <v>-152.41953060683508</v>
      </c>
      <c r="H5" s="10"/>
      <c r="L5" s="10"/>
      <c r="M5" s="18"/>
      <c r="N5" s="16"/>
      <c r="O5" s="16"/>
      <c r="P5" s="16"/>
      <c r="Q5" s="16"/>
      <c r="R5" s="16"/>
      <c r="S5" s="16"/>
      <c r="T5" s="16"/>
    </row>
    <row r="6" spans="1:20" x14ac:dyDescent="0.3">
      <c r="A6" t="s">
        <v>8</v>
      </c>
      <c r="B6" s="9">
        <v>-17.017896175384521</v>
      </c>
      <c r="E6" t="s">
        <v>9</v>
      </c>
      <c r="H6" s="10"/>
      <c r="L6" s="10"/>
      <c r="M6" s="18"/>
      <c r="N6" s="10"/>
      <c r="O6" s="10"/>
      <c r="P6" s="10"/>
      <c r="Q6" s="10"/>
      <c r="R6" s="10"/>
      <c r="S6" s="10"/>
      <c r="T6" s="10"/>
    </row>
    <row r="7" spans="1:20" ht="15" thickBot="1" x14ac:dyDescent="0.35">
      <c r="A7" t="s">
        <v>10</v>
      </c>
      <c r="B7" s="14">
        <v>-20.40325510113918</v>
      </c>
      <c r="E7" t="s">
        <v>11</v>
      </c>
      <c r="H7" s="10"/>
      <c r="L7" s="10"/>
      <c r="M7" s="18"/>
      <c r="N7" s="10"/>
      <c r="O7" s="10"/>
      <c r="P7" s="10"/>
      <c r="Q7" s="10"/>
      <c r="R7" s="10"/>
      <c r="S7" s="10"/>
      <c r="T7" s="10"/>
    </row>
    <row r="8" spans="1:20" x14ac:dyDescent="0.3">
      <c r="M8" t="s">
        <v>12</v>
      </c>
    </row>
    <row r="9" spans="1:20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20" x14ac:dyDescent="0.3">
      <c r="A10">
        <v>1</v>
      </c>
      <c r="B10" s="11">
        <f>0.5*CTDC</f>
        <v>-76.209765303417541</v>
      </c>
      <c r="C10" s="11"/>
      <c r="D10" s="11">
        <f>Cland</f>
        <v>-6</v>
      </c>
      <c r="E10" s="11"/>
      <c r="F10" s="11"/>
      <c r="G10" s="11"/>
      <c r="H10" s="11"/>
      <c r="I10" s="11"/>
      <c r="J10" s="11"/>
      <c r="L10" s="11">
        <f>B10+D10</f>
        <v>-82.209765303417541</v>
      </c>
      <c r="M10" s="11">
        <f t="shared" ref="M10:M24" si="0">L10/(1+i)^(A10-1)</f>
        <v>-82.209765303417541</v>
      </c>
      <c r="N10" s="11">
        <f>M10</f>
        <v>-82.209765303417541</v>
      </c>
    </row>
    <row r="11" spans="1:20" x14ac:dyDescent="0.3">
      <c r="A11">
        <v>2</v>
      </c>
      <c r="B11" s="11">
        <f>0.5*CTDC</f>
        <v>-76.209765303417541</v>
      </c>
      <c r="C11" s="11">
        <f>WC</f>
        <v>-17.017896175384521</v>
      </c>
      <c r="D11" s="11"/>
      <c r="E11" s="11"/>
      <c r="F11" s="11">
        <f>Cstart</f>
        <v>-20.40325510113918</v>
      </c>
      <c r="G11" s="11"/>
      <c r="H11" s="11"/>
      <c r="I11" s="11"/>
      <c r="J11" s="11"/>
      <c r="L11">
        <f>B11+C11+F11</f>
        <v>-113.63091657994124</v>
      </c>
      <c r="M11" s="11">
        <f t="shared" si="0"/>
        <v>-101.09190236931649</v>
      </c>
      <c r="N11" s="11">
        <f>N10+M11</f>
        <v>-183.30166767273403</v>
      </c>
    </row>
    <row r="12" spans="1:20" x14ac:dyDescent="0.3">
      <c r="A12">
        <v>3</v>
      </c>
      <c r="B12" s="11"/>
      <c r="C12" s="11"/>
      <c r="D12" s="11"/>
      <c r="E12" s="11">
        <f t="shared" ref="E12:E24" si="1">Croyal</f>
        <v>-2.91</v>
      </c>
      <c r="F12" s="11"/>
      <c r="G12" s="11"/>
      <c r="H12" s="11">
        <f>P12*-CTDC</f>
        <v>21.780750923716734</v>
      </c>
      <c r="I12" s="11">
        <f>0.5*S</f>
        <v>15.107203285078509</v>
      </c>
      <c r="J12" s="11">
        <f>0.5*COS</f>
        <v>-5.0873691366270277</v>
      </c>
      <c r="K12" s="11">
        <f>(1-tax)*(I12-J12-H12)</f>
        <v>-0.95170710120671842</v>
      </c>
      <c r="L12" s="11">
        <f t="shared" ref="L12:L23" si="2">K12+H12+E12</f>
        <v>17.919043822510016</v>
      </c>
      <c r="M12" s="11">
        <f t="shared" si="0"/>
        <v>14.182557416547262</v>
      </c>
      <c r="N12" s="11">
        <f t="shared" ref="N12:N23" si="3">N11+M12</f>
        <v>-169.11911025618676</v>
      </c>
      <c r="P12" s="12">
        <v>0.1429</v>
      </c>
    </row>
    <row r="13" spans="1:20" x14ac:dyDescent="0.3">
      <c r="A13">
        <v>4</v>
      </c>
      <c r="B13" s="11"/>
      <c r="C13" s="11"/>
      <c r="D13" s="11"/>
      <c r="E13" s="11">
        <f t="shared" si="1"/>
        <v>-2.91</v>
      </c>
      <c r="F13" s="11"/>
      <c r="G13" s="11"/>
      <c r="H13" s="11">
        <f t="shared" ref="H13:H19" si="4">P13*-CTDC</f>
        <v>37.327543045613915</v>
      </c>
      <c r="I13" s="11">
        <f>0.8*S</f>
        <v>24.171525256125616</v>
      </c>
      <c r="J13" s="11">
        <f>0.8*COS</f>
        <v>-8.1397906186032447</v>
      </c>
      <c r="K13" s="11">
        <f t="shared" ref="K13:K24" si="5">(1-tax)*(I13-J13-H13)</f>
        <v>-3.0097363025310315</v>
      </c>
      <c r="L13" s="11">
        <f t="shared" si="2"/>
        <v>31.407806743082883</v>
      </c>
      <c r="M13" s="11">
        <f t="shared" si="0"/>
        <v>22.115521676995041</v>
      </c>
      <c r="N13" s="11">
        <f t="shared" si="3"/>
        <v>-147.00358857919173</v>
      </c>
      <c r="P13" s="12">
        <v>0.24490000000000001</v>
      </c>
    </row>
    <row r="14" spans="1:20" x14ac:dyDescent="0.3">
      <c r="A14">
        <v>5</v>
      </c>
      <c r="B14" s="11"/>
      <c r="C14" s="11"/>
      <c r="D14" s="11"/>
      <c r="E14" s="11">
        <f t="shared" si="1"/>
        <v>-2.91</v>
      </c>
      <c r="F14" s="11"/>
      <c r="G14" s="11"/>
      <c r="H14" s="11">
        <f t="shared" si="4"/>
        <v>26.658175903135454</v>
      </c>
      <c r="I14" s="11">
        <f t="shared" ref="I14:I24" si="6">S</f>
        <v>30.214406570157017</v>
      </c>
      <c r="J14" s="11">
        <f t="shared" ref="J14:J24" si="7">COS</f>
        <v>-10.174738273254055</v>
      </c>
      <c r="K14" s="11">
        <f t="shared" si="5"/>
        <v>8.2385813641653716</v>
      </c>
      <c r="L14" s="11">
        <f t="shared" si="2"/>
        <v>31.986757267300828</v>
      </c>
      <c r="M14" s="11">
        <f t="shared" si="0"/>
        <v>20.037782231015548</v>
      </c>
      <c r="N14" s="11">
        <f t="shared" si="3"/>
        <v>-126.96580634817619</v>
      </c>
      <c r="P14" s="12">
        <v>0.1749</v>
      </c>
    </row>
    <row r="15" spans="1:20" x14ac:dyDescent="0.3">
      <c r="A15">
        <v>6</v>
      </c>
      <c r="B15" s="11"/>
      <c r="C15" s="11"/>
      <c r="D15" s="11"/>
      <c r="E15" s="11">
        <f t="shared" si="1"/>
        <v>-2.91</v>
      </c>
      <c r="F15" s="11"/>
      <c r="G15" s="11"/>
      <c r="H15" s="11">
        <f t="shared" si="4"/>
        <v>19.037199372793701</v>
      </c>
      <c r="I15" s="11">
        <f t="shared" si="6"/>
        <v>30.214406570157017</v>
      </c>
      <c r="J15" s="11">
        <f t="shared" si="7"/>
        <v>-10.174738273254055</v>
      </c>
      <c r="K15" s="11">
        <f t="shared" si="5"/>
        <v>12.811167282370423</v>
      </c>
      <c r="L15" s="11">
        <f t="shared" si="2"/>
        <v>28.938366655164124</v>
      </c>
      <c r="M15" s="11">
        <f t="shared" si="0"/>
        <v>16.127732523383855</v>
      </c>
      <c r="N15" s="11">
        <f t="shared" si="3"/>
        <v>-110.83807382479233</v>
      </c>
      <c r="P15" s="12">
        <v>0.1249</v>
      </c>
    </row>
    <row r="16" spans="1:20" x14ac:dyDescent="0.3">
      <c r="A16">
        <v>7</v>
      </c>
      <c r="B16" s="11"/>
      <c r="C16" s="11"/>
      <c r="D16" s="11"/>
      <c r="E16" s="11">
        <f t="shared" si="1"/>
        <v>-2.91</v>
      </c>
      <c r="F16" s="11"/>
      <c r="G16" s="11"/>
      <c r="H16" s="11">
        <f t="shared" si="4"/>
        <v>13.611064083190373</v>
      </c>
      <c r="I16" s="11">
        <f t="shared" si="6"/>
        <v>30.214406570157017</v>
      </c>
      <c r="J16" s="11">
        <f t="shared" si="7"/>
        <v>-10.174738273254055</v>
      </c>
      <c r="K16" s="11">
        <f t="shared" si="5"/>
        <v>16.066848456132423</v>
      </c>
      <c r="L16" s="11">
        <f t="shared" si="2"/>
        <v>26.767912539322797</v>
      </c>
      <c r="M16" s="11">
        <f t="shared" si="0"/>
        <v>13.271917127686425</v>
      </c>
      <c r="N16" s="11">
        <f t="shared" si="3"/>
        <v>-97.56615669710591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-2.91</v>
      </c>
      <c r="F17" s="11"/>
      <c r="G17" s="11"/>
      <c r="H17" s="11">
        <f t="shared" si="4"/>
        <v>13.59582213012969</v>
      </c>
      <c r="I17" s="11">
        <f t="shared" si="6"/>
        <v>30.214406570157017</v>
      </c>
      <c r="J17" s="11">
        <f t="shared" si="7"/>
        <v>-10.174738273254055</v>
      </c>
      <c r="K17" s="11">
        <f t="shared" si="5"/>
        <v>16.075993627968831</v>
      </c>
      <c r="L17" s="11">
        <f t="shared" si="2"/>
        <v>26.761815758098521</v>
      </c>
      <c r="M17" s="11">
        <f t="shared" si="0"/>
        <v>11.804690158369032</v>
      </c>
      <c r="N17" s="11">
        <f t="shared" si="3"/>
        <v>-85.761466538736883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-2.91</v>
      </c>
      <c r="F18" s="11"/>
      <c r="G18" s="11"/>
      <c r="H18" s="11">
        <f t="shared" si="4"/>
        <v>13.611064083190373</v>
      </c>
      <c r="I18" s="11">
        <f t="shared" si="6"/>
        <v>30.214406570157017</v>
      </c>
      <c r="J18" s="11">
        <f t="shared" si="7"/>
        <v>-10.174738273254055</v>
      </c>
      <c r="K18" s="11">
        <f t="shared" si="5"/>
        <v>16.066848456132423</v>
      </c>
      <c r="L18" s="11">
        <f t="shared" si="2"/>
        <v>26.767912539322797</v>
      </c>
      <c r="M18" s="11">
        <f t="shared" si="0"/>
        <v>10.504451496157087</v>
      </c>
      <c r="N18" s="11">
        <f t="shared" si="3"/>
        <v>-75.257015042579795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-2.91</v>
      </c>
      <c r="F19" s="11"/>
      <c r="G19" s="11"/>
      <c r="H19" s="11">
        <f t="shared" si="4"/>
        <v>6.7979110650648451</v>
      </c>
      <c r="I19" s="11">
        <f t="shared" si="6"/>
        <v>30.214406570157017</v>
      </c>
      <c r="J19" s="11">
        <f t="shared" si="7"/>
        <v>-10.174738273254055</v>
      </c>
      <c r="K19" s="11">
        <f t="shared" si="5"/>
        <v>20.154740267007735</v>
      </c>
      <c r="L19" s="11">
        <f t="shared" si="2"/>
        <v>24.04265133207258</v>
      </c>
      <c r="M19" s="11">
        <f t="shared" si="0"/>
        <v>8.3938478583962084</v>
      </c>
      <c r="N19" s="11">
        <f t="shared" si="3"/>
        <v>-66.863167184183581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-2.91</v>
      </c>
      <c r="F20" s="11"/>
      <c r="G20" s="11"/>
      <c r="H20" s="11"/>
      <c r="I20" s="11">
        <f t="shared" si="6"/>
        <v>30.214406570157017</v>
      </c>
      <c r="J20" s="11">
        <f t="shared" si="7"/>
        <v>-10.174738273254055</v>
      </c>
      <c r="K20" s="11">
        <f t="shared" si="5"/>
        <v>24.233486906046643</v>
      </c>
      <c r="L20" s="11">
        <f t="shared" si="2"/>
        <v>21.323486906046643</v>
      </c>
      <c r="M20" s="11">
        <f t="shared" si="0"/>
        <v>6.6230314621903039</v>
      </c>
      <c r="N20" s="11">
        <f t="shared" si="3"/>
        <v>-60.240135721993276</v>
      </c>
    </row>
    <row r="21" spans="1:16" x14ac:dyDescent="0.3">
      <c r="A21">
        <v>12</v>
      </c>
      <c r="B21" s="11"/>
      <c r="C21" s="11"/>
      <c r="D21" s="11"/>
      <c r="E21" s="11">
        <f t="shared" si="1"/>
        <v>-2.91</v>
      </c>
      <c r="F21" s="11"/>
      <c r="G21" s="11"/>
      <c r="H21" s="11"/>
      <c r="I21" s="11">
        <f t="shared" si="6"/>
        <v>30.214406570157017</v>
      </c>
      <c r="J21" s="11">
        <f t="shared" si="7"/>
        <v>-10.174738273254055</v>
      </c>
      <c r="K21" s="11">
        <f t="shared" si="5"/>
        <v>24.233486906046643</v>
      </c>
      <c r="L21" s="11">
        <f t="shared" si="2"/>
        <v>21.323486906046643</v>
      </c>
      <c r="M21" s="11">
        <f t="shared" si="0"/>
        <v>5.8921891164507567</v>
      </c>
      <c r="N21" s="11">
        <f t="shared" si="3"/>
        <v>-54.347946605542518</v>
      </c>
    </row>
    <row r="22" spans="1:16" x14ac:dyDescent="0.3">
      <c r="A22">
        <v>13</v>
      </c>
      <c r="B22" s="11"/>
      <c r="C22" s="11"/>
      <c r="D22" s="11"/>
      <c r="E22" s="11">
        <f t="shared" si="1"/>
        <v>-2.91</v>
      </c>
      <c r="F22" s="11"/>
      <c r="G22" s="11"/>
      <c r="H22" s="11"/>
      <c r="I22" s="11">
        <f t="shared" si="6"/>
        <v>30.214406570157017</v>
      </c>
      <c r="J22" s="11">
        <f t="shared" si="7"/>
        <v>-10.174738273254055</v>
      </c>
      <c r="K22" s="11">
        <f t="shared" si="5"/>
        <v>24.233486906046643</v>
      </c>
      <c r="L22" s="11">
        <f t="shared" si="2"/>
        <v>21.323486906046643</v>
      </c>
      <c r="M22" s="11">
        <f t="shared" si="0"/>
        <v>5.2419942109921953</v>
      </c>
      <c r="N22" s="11">
        <f t="shared" si="3"/>
        <v>-49.105952394550322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-2.91</v>
      </c>
      <c r="F23" s="11"/>
      <c r="G23" s="11"/>
      <c r="H23" s="11"/>
      <c r="I23" s="11">
        <f t="shared" si="6"/>
        <v>30.214406570157017</v>
      </c>
      <c r="J23" s="11">
        <f t="shared" si="7"/>
        <v>-10.174738273254055</v>
      </c>
      <c r="K23" s="11">
        <f t="shared" si="5"/>
        <v>24.233486906046643</v>
      </c>
      <c r="L23" s="11">
        <f t="shared" si="2"/>
        <v>21.323486906046643</v>
      </c>
      <c r="M23" s="11">
        <f t="shared" si="0"/>
        <v>4.6635474125154603</v>
      </c>
      <c r="N23" s="11">
        <f t="shared" si="3"/>
        <v>-44.442404982034859</v>
      </c>
    </row>
    <row r="24" spans="1:16" ht="15" thickBot="1" x14ac:dyDescent="0.35">
      <c r="A24">
        <v>15</v>
      </c>
      <c r="B24" s="11"/>
      <c r="C24" s="11">
        <f>-WC</f>
        <v>17.017896175384521</v>
      </c>
      <c r="D24" s="11"/>
      <c r="E24" s="11">
        <f t="shared" si="1"/>
        <v>-2.91</v>
      </c>
      <c r="F24" s="11"/>
      <c r="G24" s="11"/>
      <c r="H24" s="11"/>
      <c r="I24" s="11">
        <f t="shared" si="6"/>
        <v>30.214406570157017</v>
      </c>
      <c r="J24" s="11">
        <f t="shared" si="7"/>
        <v>-10.174738273254055</v>
      </c>
      <c r="K24" s="11">
        <f t="shared" si="5"/>
        <v>24.233486906046643</v>
      </c>
      <c r="L24" s="11">
        <f>C24+K24+G24+E24</f>
        <v>38.341383081431161</v>
      </c>
      <c r="M24" s="11">
        <f t="shared" si="0"/>
        <v>7.4601198918274756</v>
      </c>
      <c r="N24" s="13">
        <f>N23+M24</f>
        <v>-36.982285090207384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pageSetup orientation="portrait" horizontalDpi="300" verticalDpi="300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2"/>
  <sheetViews>
    <sheetView workbookViewId="0">
      <selection sqref="A1:B22"/>
    </sheetView>
  </sheetViews>
  <sheetFormatPr defaultRowHeight="14.4" x14ac:dyDescent="0.3"/>
  <sheetData>
    <row r="1" spans="1:2" x14ac:dyDescent="0.3">
      <c r="A1">
        <v>-135</v>
      </c>
      <c r="B1">
        <v>0</v>
      </c>
    </row>
    <row r="2" spans="1:2" x14ac:dyDescent="0.3">
      <c r="A2">
        <v>-125</v>
      </c>
      <c r="B2">
        <v>2</v>
      </c>
    </row>
    <row r="3" spans="1:2" x14ac:dyDescent="0.3">
      <c r="A3">
        <v>-115</v>
      </c>
      <c r="B3">
        <v>2</v>
      </c>
    </row>
    <row r="4" spans="1:2" x14ac:dyDescent="0.3">
      <c r="A4">
        <v>-105</v>
      </c>
      <c r="B4">
        <v>12</v>
      </c>
    </row>
    <row r="5" spans="1:2" x14ac:dyDescent="0.3">
      <c r="A5">
        <v>-95</v>
      </c>
      <c r="B5">
        <v>12</v>
      </c>
    </row>
    <row r="6" spans="1:2" x14ac:dyDescent="0.3">
      <c r="A6">
        <v>-85</v>
      </c>
      <c r="B6">
        <v>55</v>
      </c>
    </row>
    <row r="7" spans="1:2" x14ac:dyDescent="0.3">
      <c r="A7">
        <v>-75</v>
      </c>
      <c r="B7">
        <v>97</v>
      </c>
    </row>
    <row r="8" spans="1:2" x14ac:dyDescent="0.3">
      <c r="A8">
        <v>-65</v>
      </c>
      <c r="B8">
        <v>130</v>
      </c>
    </row>
    <row r="9" spans="1:2" x14ac:dyDescent="0.3">
      <c r="A9">
        <v>-55</v>
      </c>
      <c r="B9">
        <v>91</v>
      </c>
    </row>
    <row r="10" spans="1:2" x14ac:dyDescent="0.3">
      <c r="A10">
        <v>-45</v>
      </c>
      <c r="B10">
        <v>50</v>
      </c>
    </row>
    <row r="11" spans="1:2" x14ac:dyDescent="0.3">
      <c r="A11">
        <v>-35</v>
      </c>
      <c r="B11">
        <v>133</v>
      </c>
    </row>
    <row r="12" spans="1:2" x14ac:dyDescent="0.3">
      <c r="A12">
        <v>-25</v>
      </c>
      <c r="B12">
        <v>148</v>
      </c>
    </row>
    <row r="13" spans="1:2" x14ac:dyDescent="0.3">
      <c r="A13">
        <v>-15</v>
      </c>
      <c r="B13">
        <v>95</v>
      </c>
    </row>
    <row r="14" spans="1:2" x14ac:dyDescent="0.3">
      <c r="A14">
        <v>-5</v>
      </c>
      <c r="B14">
        <v>60</v>
      </c>
    </row>
    <row r="15" spans="1:2" x14ac:dyDescent="0.3">
      <c r="A15">
        <v>5</v>
      </c>
      <c r="B15">
        <v>42</v>
      </c>
    </row>
    <row r="16" spans="1:2" x14ac:dyDescent="0.3">
      <c r="A16">
        <v>15</v>
      </c>
      <c r="B16">
        <v>24</v>
      </c>
    </row>
    <row r="17" spans="1:2" x14ac:dyDescent="0.3">
      <c r="A17">
        <v>25</v>
      </c>
      <c r="B17">
        <v>21</v>
      </c>
    </row>
    <row r="18" spans="1:2" x14ac:dyDescent="0.3">
      <c r="A18">
        <v>35</v>
      </c>
      <c r="B18">
        <v>16</v>
      </c>
    </row>
    <row r="19" spans="1:2" x14ac:dyDescent="0.3">
      <c r="A19">
        <v>45</v>
      </c>
      <c r="B19">
        <v>6</v>
      </c>
    </row>
    <row r="20" spans="1:2" x14ac:dyDescent="0.3">
      <c r="A20">
        <v>55</v>
      </c>
      <c r="B20">
        <v>2</v>
      </c>
    </row>
    <row r="21" spans="1:2" x14ac:dyDescent="0.3">
      <c r="A21">
        <v>65</v>
      </c>
      <c r="B21">
        <v>0</v>
      </c>
    </row>
    <row r="22" spans="1:2" x14ac:dyDescent="0.3">
      <c r="A22">
        <v>75</v>
      </c>
      <c r="B22">
        <v>1</v>
      </c>
    </row>
  </sheetData>
  <pageMargins left="0.7" right="0.7" top="0.75" bottom="0.75" header="0.3" footer="0.3"/>
  <pageSetup orientation="portrait" horizontalDpi="300" verticalDpi="300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Final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Larisa Steigenberger</cp:lastModifiedBy>
  <dcterms:created xsi:type="dcterms:W3CDTF">2013-10-29T18:00:12Z</dcterms:created>
  <dcterms:modified xsi:type="dcterms:W3CDTF">2020-12-30T05:25:54Z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2020-12-28T17:53:53.9685680Z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88bcdaa8-30bf-4b38-b2f8-2a00190281d1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2020-12-28T17:53:53.9685680Z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88bcdaa8-30bf-4b38-b2f8-2a00190281d1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